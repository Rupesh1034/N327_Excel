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bisen\Downloads\"/>
    </mc:Choice>
  </mc:AlternateContent>
  <xr:revisionPtr revIDLastSave="0" documentId="13_ncr:1_{F6ED5FFF-8AC8-46DB-991D-88EA78BF6648}" xr6:coauthVersionLast="47" xr6:coauthVersionMax="47" xr10:uidLastSave="{00000000-0000-0000-0000-000000000000}"/>
  <bookViews>
    <workbookView xWindow="-108" yWindow="-108" windowWidth="23256" windowHeight="12456" activeTab="1" xr2:uid="{ABDD5983-4B69-48BA-B741-74D4F1755F33}"/>
  </bookViews>
  <sheets>
    <sheet name="Sheet1" sheetId="1" r:id="rId1"/>
    <sheet name="Sheet2" sheetId="2" r:id="rId2"/>
  </sheets>
  <definedNames>
    <definedName name="Abhishek_Sharma">Sheet1!$B$6:$D$6</definedName>
    <definedName name="David_Warner">Sheet1!$B$5:$D$5</definedName>
    <definedName name="English">Sheet1!$B$2:$B$9</definedName>
    <definedName name="Ishan_Kishan">Sheet1!$B$8:$D$8</definedName>
    <definedName name="Lokesh_Rahul">Sheet1!$B$9:$D$9</definedName>
    <definedName name="Maths">Sheet1!$C$2:$C$9</definedName>
    <definedName name="Rohit_Sharma">Sheet1!$B$2:$D$2</definedName>
    <definedName name="Sam_Curran">Sheet1!$B$4:$D$4</definedName>
    <definedName name="Sanju_Samson">Sheet1!$B$7:$D$7</definedName>
    <definedName name="Science">Sheet1!$D$2:$D$9</definedName>
    <definedName name="Slicer_Product">#N/A</definedName>
    <definedName name="Student_">Sheet1!$A$2:$A$9</definedName>
    <definedName name="Student_Name">Sheet1!$A$2:$A$9</definedName>
    <definedName name="Total_Marks_of_Abhishek_Sharma">Sheet1!$E$6</definedName>
    <definedName name="Total_Marks_of_David_Warner">Sheet1!$E$5</definedName>
    <definedName name="Total_Marks_of_each_subject">Sheet1!$B$10:$D$10</definedName>
    <definedName name="Total_Marks_of_Ishan_Kishan">Sheet1!$E$8</definedName>
    <definedName name="Total_Marks_of_Lokesh_Rahul">Sheet1!$E$9</definedName>
    <definedName name="Total_Marks_of_Rohit_Sharma">Sheet1!$E$2</definedName>
    <definedName name="Total_Marks_of_Sam_Curran">Sheet1!$E$4</definedName>
    <definedName name="Total_Marks_of_Sanju_">Sheet1!$E$7</definedName>
    <definedName name="Total_Marks_of_Sanju_Samson">Sheet1!$E$7</definedName>
    <definedName name="Total_marks_of_Virat_Kohli">Sheet1!$E$3</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2" l="1"/>
  <c r="E12" i="2"/>
  <c r="F9" i="1"/>
  <c r="F8" i="1"/>
  <c r="F7" i="1"/>
  <c r="F6" i="1"/>
  <c r="F5" i="1"/>
  <c r="F4" i="1"/>
  <c r="F3" i="1"/>
  <c r="F2" i="1"/>
  <c r="E10" i="1"/>
  <c r="E9" i="1"/>
  <c r="E8" i="1"/>
  <c r="E7" i="1"/>
  <c r="E6" i="1"/>
  <c r="E5" i="1"/>
  <c r="E4" i="1"/>
  <c r="E3" i="1"/>
  <c r="E2" i="1"/>
  <c r="D10" i="1"/>
  <c r="C10" i="1"/>
  <c r="B10" i="1"/>
</calcChain>
</file>

<file path=xl/sharedStrings.xml><?xml version="1.0" encoding="utf-8"?>
<sst xmlns="http://schemas.openxmlformats.org/spreadsheetml/2006/main" count="42" uniqueCount="34">
  <si>
    <t>student Name</t>
  </si>
  <si>
    <t>English</t>
  </si>
  <si>
    <t>Maths</t>
  </si>
  <si>
    <t>Science</t>
  </si>
  <si>
    <t>Total Marks of Students</t>
  </si>
  <si>
    <t>Rohit Sharma</t>
  </si>
  <si>
    <t>Virat Kohli</t>
  </si>
  <si>
    <t>Sam Curran</t>
  </si>
  <si>
    <t>David Warner</t>
  </si>
  <si>
    <t>Abhishek Sharma</t>
  </si>
  <si>
    <t>Sanju Samson</t>
  </si>
  <si>
    <t>Ishan Kishan</t>
  </si>
  <si>
    <t>Lokesh Rahul</t>
  </si>
  <si>
    <t>Total Marks of each subject</t>
  </si>
  <si>
    <t>Percentage</t>
  </si>
  <si>
    <t>Product</t>
  </si>
  <si>
    <t>Category</t>
  </si>
  <si>
    <t>Quantity</t>
  </si>
  <si>
    <t>Price</t>
  </si>
  <si>
    <t>Sales</t>
  </si>
  <si>
    <t>Pen</t>
  </si>
  <si>
    <t>Notebook</t>
  </si>
  <si>
    <t>Pencil</t>
  </si>
  <si>
    <t>Bag</t>
  </si>
  <si>
    <t>Bottle</t>
  </si>
  <si>
    <t>Eraser</t>
  </si>
  <si>
    <t>Marker</t>
  </si>
  <si>
    <t>Lunch box</t>
  </si>
  <si>
    <t>Dairy</t>
  </si>
  <si>
    <t>File</t>
  </si>
  <si>
    <t>Stationary</t>
  </si>
  <si>
    <t>Accessories</t>
  </si>
  <si>
    <t>Total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</si>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</sst>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4"/>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3" borderId="0" xfId="0" applyFill="1"/>
    <xf numFmtId="0" fontId="1" fillId="4" borderId="0" xfId="0" applyFont="1" applyFill="1"/>
  </cellXfs>
  <cellStyles count="1">
    <cellStyle name="Normal" xfId="0" builtinId="0"/>
  </cellStyles>
  <dxfs count="1">
    <dxf>
      <font>
        <b/>
        <i val="0"/>
        <strike val="0"/>
        <condense val="0"/>
        <extend val="0"/>
        <outline val="0"/>
        <shadow val="0"/>
        <u val="none"/>
        <vertAlign val="baseline"/>
        <sz val="11"/>
        <color theme="1"/>
        <name val="Calibri"/>
        <family val="2"/>
        <scheme val="minor"/>
      </font>
      <fill>
        <patternFill patternType="solid">
          <fgColor indexed="6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126181102362206"/>
          <c:y val="0.19689814814814816"/>
          <c:w val="0.73940485564304459"/>
          <c:h val="0.70959135316418775"/>
        </c:manualLayout>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Sheet1!$A$2:$A$9</c:f>
              <c:strCache>
                <c:ptCount val="8"/>
                <c:pt idx="0">
                  <c:v>Rohit Sharma</c:v>
                </c:pt>
                <c:pt idx="1">
                  <c:v>Virat Kohli</c:v>
                </c:pt>
                <c:pt idx="2">
                  <c:v>Sam Curran</c:v>
                </c:pt>
                <c:pt idx="3">
                  <c:v>David Warner</c:v>
                </c:pt>
                <c:pt idx="4">
                  <c:v>Abhishek Sharma</c:v>
                </c:pt>
                <c:pt idx="5">
                  <c:v>Sanju Samson</c:v>
                </c:pt>
                <c:pt idx="6">
                  <c:v>Ishan Kishan</c:v>
                </c:pt>
                <c:pt idx="7">
                  <c:v>Lokesh Rahul</c:v>
                </c:pt>
              </c:strCache>
            </c:strRef>
          </c:cat>
          <c:val>
            <c:numRef>
              <c:f>Sheet1!$B$2:$B$9</c:f>
              <c:numCache>
                <c:formatCode>General</c:formatCode>
                <c:ptCount val="8"/>
                <c:pt idx="0">
                  <c:v>89</c:v>
                </c:pt>
                <c:pt idx="1">
                  <c:v>86</c:v>
                </c:pt>
                <c:pt idx="2">
                  <c:v>85</c:v>
                </c:pt>
                <c:pt idx="3">
                  <c:v>79</c:v>
                </c:pt>
                <c:pt idx="4">
                  <c:v>79</c:v>
                </c:pt>
                <c:pt idx="5">
                  <c:v>93</c:v>
                </c:pt>
                <c:pt idx="6">
                  <c:v>85</c:v>
                </c:pt>
                <c:pt idx="7">
                  <c:v>82</c:v>
                </c:pt>
              </c:numCache>
            </c:numRef>
          </c:val>
          <c:extLst>
            <c:ext xmlns:c16="http://schemas.microsoft.com/office/drawing/2014/chart" uri="{C3380CC4-5D6E-409C-BE32-E72D297353CC}">
              <c16:uniqueId val="{00000000-25FE-4AAE-92D7-E0D585017E68}"/>
            </c:ext>
          </c:extLst>
        </c:ser>
        <c:dLbls>
          <c:showLegendKey val="0"/>
          <c:showVal val="0"/>
          <c:showCatName val="0"/>
          <c:showSerName val="0"/>
          <c:showPercent val="0"/>
          <c:showBubbleSize val="0"/>
        </c:dLbls>
        <c:gapWidth val="115"/>
        <c:overlap val="-20"/>
        <c:axId val="457610688"/>
        <c:axId val="457609728"/>
      </c:barChart>
      <c:catAx>
        <c:axId val="4576106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609728"/>
        <c:crosses val="autoZero"/>
        <c:auto val="1"/>
        <c:lblAlgn val="ctr"/>
        <c:lblOffset val="100"/>
        <c:noMultiLvlLbl val="0"/>
      </c:catAx>
      <c:valAx>
        <c:axId val="45760972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7610688"/>
        <c:crosses val="autoZero"/>
        <c:crossBetween val="between"/>
      </c:valAx>
      <c:spPr>
        <a:noFill/>
        <a:ln w="25400">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English</a:t>
            </a:r>
            <a:r>
              <a:rPr lang="en-IN" baseline="0"/>
              <a:t> Marks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97-47F7-88F6-F4D8855530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97-47F7-88F6-F4D8855530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D97-47F7-88F6-F4D88555309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D97-47F7-88F6-F4D88555309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D97-47F7-88F6-F4D88555309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D97-47F7-88F6-F4D88555309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D97-47F7-88F6-F4D88555309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D97-47F7-88F6-F4D8855530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Sheet1!$A$2:$A$9</c:f>
              <c:strCache>
                <c:ptCount val="8"/>
                <c:pt idx="0">
                  <c:v>Rohit Sharma</c:v>
                </c:pt>
                <c:pt idx="1">
                  <c:v>Virat Kohli</c:v>
                </c:pt>
                <c:pt idx="2">
                  <c:v>Sam Curran</c:v>
                </c:pt>
                <c:pt idx="3">
                  <c:v>David Warner</c:v>
                </c:pt>
                <c:pt idx="4">
                  <c:v>Abhishek Sharma</c:v>
                </c:pt>
                <c:pt idx="5">
                  <c:v>Sanju Samson</c:v>
                </c:pt>
                <c:pt idx="6">
                  <c:v>Ishan Kishan</c:v>
                </c:pt>
                <c:pt idx="7">
                  <c:v>Lokesh Rahul</c:v>
                </c:pt>
              </c:strCache>
            </c:strRef>
          </c:cat>
          <c:val>
            <c:numRef>
              <c:f>Sheet1!$B$2:$B$9</c:f>
              <c:numCache>
                <c:formatCode>General</c:formatCode>
                <c:ptCount val="8"/>
                <c:pt idx="0">
                  <c:v>89</c:v>
                </c:pt>
                <c:pt idx="1">
                  <c:v>86</c:v>
                </c:pt>
                <c:pt idx="2">
                  <c:v>85</c:v>
                </c:pt>
                <c:pt idx="3">
                  <c:v>79</c:v>
                </c:pt>
                <c:pt idx="4">
                  <c:v>79</c:v>
                </c:pt>
                <c:pt idx="5">
                  <c:v>93</c:v>
                </c:pt>
                <c:pt idx="6">
                  <c:v>85</c:v>
                </c:pt>
                <c:pt idx="7">
                  <c:v>82</c:v>
                </c:pt>
              </c:numCache>
            </c:numRef>
          </c:val>
          <c:extLst>
            <c:ext xmlns:c16="http://schemas.microsoft.com/office/drawing/2014/chart" uri="{C3380CC4-5D6E-409C-BE32-E72D297353CC}">
              <c16:uniqueId val="{00000000-453C-4B43-904C-D4C51C26FE2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220980</xdr:colOff>
      <xdr:row>10</xdr:row>
      <xdr:rowOff>121920</xdr:rowOff>
    </xdr:from>
    <xdr:to>
      <xdr:col>12</xdr:col>
      <xdr:colOff>15240</xdr:colOff>
      <xdr:row>18</xdr:row>
      <xdr:rowOff>171450</xdr:rowOff>
    </xdr:to>
    <xdr:graphicFrame macro="">
      <xdr:nvGraphicFramePr>
        <xdr:cNvPr id="2" name="Chart 1">
          <a:extLst>
            <a:ext uri="{FF2B5EF4-FFF2-40B4-BE49-F238E27FC236}">
              <a16:creationId xmlns:a16="http://schemas.microsoft.com/office/drawing/2014/main" id="{9314CFBF-ABEE-A859-B2D9-47921A922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289560</xdr:colOff>
      <xdr:row>11</xdr:row>
      <xdr:rowOff>80010</xdr:rowOff>
    </xdr:from>
    <xdr:to>
      <xdr:col>7</xdr:col>
      <xdr:colOff>38100</xdr:colOff>
      <xdr:row>26</xdr:row>
      <xdr:rowOff>80010</xdr:rowOff>
    </xdr:to>
    <xdr:graphicFrame macro="">
      <xdr:nvGraphicFramePr>
        <xdr:cNvPr id="3" name="Chart 2">
          <a:extLst>
            <a:ext uri="{FF2B5EF4-FFF2-40B4-BE49-F238E27FC236}">
              <a16:creationId xmlns:a16="http://schemas.microsoft.com/office/drawing/2014/main" id="{DDB5BB71-C80E-B2D6-F2EA-7D5A69384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8</xdr:col>
      <xdr:colOff>167640</xdr:colOff>
      <xdr:row>6</xdr:row>
      <xdr:rowOff>68580</xdr:rowOff>
    </xdr:from>
    <xdr:to>
      <xdr:col>11</xdr:col>
      <xdr:colOff>167640</xdr:colOff>
      <xdr:row>19</xdr:row>
      <xdr:rowOff>158115</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67E3C0E1-060D-6FB6-1B54-93114BD1128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30174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289ADD2-1640-47E2-BE5C-B781D4376538}" sourceName="Product">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25AE00A-F269-408C-B672-3A1E4DE0F7C7}"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7AE12F-E1B0-4244-A8B9-D6F877481B7A}" name="Stationary" displayName="Stationary" ref="A1:E12" totalsRowCount="1" headerRowDxfId="0">
  <autoFilter ref="A1:E11" xr:uid="{BC7AE12F-E1B0-4244-A8B9-D6F877481B7A}"/>
  <sortState xmlns:xlrd2="http://schemas.microsoft.com/office/spreadsheetml/2017/richdata2" ref="A2:E11">
    <sortCondition ref="E1:E11"/>
  </sortState>
  <tableColumns count="5">
    <tableColumn id="1" xr3:uid="{9F5BC5CF-6540-44E8-82AE-85AFCCDE63D9}" name="Product" totalsRowLabel="Total"/>
    <tableColumn id="2" xr3:uid="{B6C2EEBB-4C1D-4F00-A513-72F3DD4C1940}" name="Category"/>
    <tableColumn id="3" xr3:uid="{0C8CAC44-2C35-4399-B854-8B3E2C431B61}" name="Quantity" totalsRowFunction="sum"/>
    <tableColumn id="4" xr3:uid="{7BD5408D-5CB7-4E60-863E-4117A19089DD}" name="Price"/>
    <tableColumn id="5" xr3:uid="{3F53BE78-C9BC-4A39-9EDC-B90BEC5FFE4A}" name="Sales" totalsRowFunction="sum"/>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CB83-F832-4407-85A7-5540C22E9C23}">
  <dimension ref="A1:F10"/>
  <sheetViews>
    <sheetView workbookViewId="0">
      <selection activeCell="K8" sqref="K8"/>
    </sheetView>
  </sheetViews>
  <sheetFormatPr defaultRowHeight="14.4" x14ac:dyDescent="0.3"/>
  <cols>
    <col min="1" max="1" width="24" customWidth="1"/>
    <col min="5" max="5" width="23.21875" customWidth="1"/>
    <col min="6" max="6" width="11.5546875" customWidth="1"/>
  </cols>
  <sheetData>
    <row r="1" spans="1:6" x14ac:dyDescent="0.3">
      <c r="A1" s="3" t="s">
        <v>0</v>
      </c>
      <c r="B1" s="3" t="s">
        <v>1</v>
      </c>
      <c r="C1" s="3" t="s">
        <v>2</v>
      </c>
      <c r="D1" s="3" t="s">
        <v>3</v>
      </c>
      <c r="E1" s="3" t="s">
        <v>4</v>
      </c>
      <c r="F1" s="3" t="s">
        <v>14</v>
      </c>
    </row>
    <row r="2" spans="1:6" x14ac:dyDescent="0.3">
      <c r="A2" t="s">
        <v>5</v>
      </c>
      <c r="B2">
        <v>89</v>
      </c>
      <c r="C2">
        <v>78</v>
      </c>
      <c r="D2">
        <v>74</v>
      </c>
      <c r="E2">
        <f>SUM(Rohit_Sharma)</f>
        <v>241</v>
      </c>
      <c r="F2">
        <f>Total_Marks_of_Rohit_Sharma/300*100</f>
        <v>80.333333333333329</v>
      </c>
    </row>
    <row r="3" spans="1:6" x14ac:dyDescent="0.3">
      <c r="A3" t="s">
        <v>6</v>
      </c>
      <c r="B3">
        <v>86</v>
      </c>
      <c r="C3">
        <v>89</v>
      </c>
      <c r="D3">
        <v>84</v>
      </c>
      <c r="E3">
        <f>SUM(B3:D3)</f>
        <v>259</v>
      </c>
      <c r="F3">
        <f>Total_marks_of_Virat_Kohli/300*100</f>
        <v>86.333333333333329</v>
      </c>
    </row>
    <row r="4" spans="1:6" x14ac:dyDescent="0.3">
      <c r="A4" t="s">
        <v>7</v>
      </c>
      <c r="B4">
        <v>85</v>
      </c>
      <c r="C4">
        <v>98</v>
      </c>
      <c r="D4">
        <v>92</v>
      </c>
      <c r="E4">
        <f>SUM(Sam_Curran)</f>
        <v>275</v>
      </c>
      <c r="F4">
        <f>Total_Marks_of_Sam_Curran/300*100</f>
        <v>91.666666666666657</v>
      </c>
    </row>
    <row r="5" spans="1:6" x14ac:dyDescent="0.3">
      <c r="A5" t="s">
        <v>8</v>
      </c>
      <c r="B5">
        <v>79</v>
      </c>
      <c r="C5">
        <v>76</v>
      </c>
      <c r="D5">
        <v>73</v>
      </c>
      <c r="E5">
        <f>SUM(David_Warner)</f>
        <v>228</v>
      </c>
      <c r="F5">
        <f>Total_Marks_of_David_Warner/300*100</f>
        <v>76</v>
      </c>
    </row>
    <row r="6" spans="1:6" x14ac:dyDescent="0.3">
      <c r="A6" t="s">
        <v>9</v>
      </c>
      <c r="B6">
        <v>79</v>
      </c>
      <c r="C6">
        <v>87</v>
      </c>
      <c r="D6">
        <v>64</v>
      </c>
      <c r="E6">
        <f>SUM(Abhishek_Sharma)</f>
        <v>230</v>
      </c>
      <c r="F6">
        <f>Total_Marks_of_Abhishek_Sharma/300*100</f>
        <v>76.666666666666671</v>
      </c>
    </row>
    <row r="7" spans="1:6" x14ac:dyDescent="0.3">
      <c r="A7" t="s">
        <v>10</v>
      </c>
      <c r="B7">
        <v>93</v>
      </c>
      <c r="C7">
        <v>74</v>
      </c>
      <c r="D7">
        <v>61</v>
      </c>
      <c r="E7">
        <f>SUM(Sanju_Samson)</f>
        <v>228</v>
      </c>
      <c r="F7">
        <f>Total_Marks_of_Sanju_/300*100</f>
        <v>76</v>
      </c>
    </row>
    <row r="8" spans="1:6" x14ac:dyDescent="0.3">
      <c r="A8" t="s">
        <v>11</v>
      </c>
      <c r="B8">
        <v>85</v>
      </c>
      <c r="C8">
        <v>82</v>
      </c>
      <c r="D8">
        <v>56</v>
      </c>
      <c r="E8">
        <f>SUM(Ishan_Kishan)</f>
        <v>223</v>
      </c>
      <c r="F8">
        <f>Total_Marks_of_Ishan_Kishan/300*100</f>
        <v>74.333333333333329</v>
      </c>
    </row>
    <row r="9" spans="1:6" x14ac:dyDescent="0.3">
      <c r="A9" t="s">
        <v>12</v>
      </c>
      <c r="B9">
        <v>82</v>
      </c>
      <c r="C9">
        <v>84</v>
      </c>
      <c r="D9">
        <v>38</v>
      </c>
      <c r="E9">
        <f>SUM(Lokesh_Rahul)</f>
        <v>204</v>
      </c>
      <c r="F9">
        <f>Total_Marks_of_Lokesh_Rahul/300*100</f>
        <v>68</v>
      </c>
    </row>
    <row r="10" spans="1:6" x14ac:dyDescent="0.3">
      <c r="A10" s="1" t="s">
        <v>13</v>
      </c>
      <c r="B10" s="2">
        <f>SUM(B2:B9)</f>
        <v>678</v>
      </c>
      <c r="C10" s="2">
        <f>SUM(C2:C9)</f>
        <v>668</v>
      </c>
      <c r="D10" s="2">
        <f>SUM(D2:D9)</f>
        <v>542</v>
      </c>
      <c r="E10">
        <f>SUM(Total_Marks_of_each_subject)</f>
        <v>1888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8F832-72B2-4832-B6B5-41B8DC4D36A5}">
  <dimension ref="A1:F22"/>
  <sheetViews>
    <sheetView tabSelected="1" workbookViewId="0">
      <selection activeCell="E23" sqref="E23"/>
    </sheetView>
  </sheetViews>
  <sheetFormatPr defaultRowHeight="14.4" x14ac:dyDescent="0.3"/>
  <cols>
    <col min="1" max="1" width="11.6640625" customWidth="1"/>
    <col min="2" max="2" width="12.21875" customWidth="1"/>
    <col min="3" max="3" width="12.6640625" customWidth="1"/>
    <col min="4" max="4" width="12.21875" customWidth="1"/>
    <col min="5" max="5" width="14" customWidth="1"/>
  </cols>
  <sheetData>
    <row r="1" spans="1:5" ht="24" customHeight="1" x14ac:dyDescent="0.3">
      <c r="A1" s="3" t="s">
        <v>15</v>
      </c>
      <c r="B1" s="3" t="s">
        <v>16</v>
      </c>
      <c r="C1" s="3" t="s">
        <v>17</v>
      </c>
      <c r="D1" s="3" t="s">
        <v>18</v>
      </c>
      <c r="E1" s="3" t="s">
        <v>19</v>
      </c>
    </row>
    <row r="2" spans="1:5" x14ac:dyDescent="0.3">
      <c r="A2" t="s">
        <v>25</v>
      </c>
      <c r="B2" t="s">
        <v>30</v>
      </c>
      <c r="C2">
        <v>25</v>
      </c>
      <c r="D2">
        <v>3</v>
      </c>
      <c r="E2">
        <v>75</v>
      </c>
    </row>
    <row r="3" spans="1:5" x14ac:dyDescent="0.3">
      <c r="A3" t="s">
        <v>22</v>
      </c>
      <c r="B3" t="s">
        <v>30</v>
      </c>
      <c r="C3">
        <v>20</v>
      </c>
      <c r="D3">
        <v>5</v>
      </c>
      <c r="E3">
        <v>100</v>
      </c>
    </row>
    <row r="4" spans="1:5" x14ac:dyDescent="0.3">
      <c r="A4" t="s">
        <v>20</v>
      </c>
      <c r="B4" t="s">
        <v>30</v>
      </c>
      <c r="C4">
        <v>15</v>
      </c>
      <c r="D4">
        <v>10</v>
      </c>
      <c r="E4">
        <v>150</v>
      </c>
    </row>
    <row r="5" spans="1:5" x14ac:dyDescent="0.3">
      <c r="A5" t="s">
        <v>26</v>
      </c>
      <c r="B5" t="s">
        <v>30</v>
      </c>
      <c r="C5">
        <v>10</v>
      </c>
      <c r="D5">
        <v>15</v>
      </c>
      <c r="E5">
        <v>150</v>
      </c>
    </row>
    <row r="6" spans="1:5" x14ac:dyDescent="0.3">
      <c r="A6" t="s">
        <v>21</v>
      </c>
      <c r="B6" t="s">
        <v>30</v>
      </c>
      <c r="C6">
        <v>8</v>
      </c>
      <c r="D6">
        <v>40</v>
      </c>
      <c r="E6">
        <v>320</v>
      </c>
    </row>
    <row r="7" spans="1:5" x14ac:dyDescent="0.3">
      <c r="A7" t="s">
        <v>29</v>
      </c>
      <c r="B7" t="s">
        <v>30</v>
      </c>
      <c r="C7">
        <v>18</v>
      </c>
      <c r="D7">
        <v>25</v>
      </c>
      <c r="E7">
        <v>450</v>
      </c>
    </row>
    <row r="8" spans="1:5" x14ac:dyDescent="0.3">
      <c r="A8" t="s">
        <v>28</v>
      </c>
      <c r="B8" t="s">
        <v>30</v>
      </c>
      <c r="C8">
        <v>7</v>
      </c>
      <c r="D8">
        <v>90</v>
      </c>
      <c r="E8">
        <v>630</v>
      </c>
    </row>
    <row r="9" spans="1:5" x14ac:dyDescent="0.3">
      <c r="A9" t="s">
        <v>24</v>
      </c>
      <c r="B9" t="s">
        <v>31</v>
      </c>
      <c r="C9">
        <v>12</v>
      </c>
      <c r="D9">
        <v>60</v>
      </c>
      <c r="E9">
        <v>720</v>
      </c>
    </row>
    <row r="10" spans="1:5" x14ac:dyDescent="0.3">
      <c r="A10" t="s">
        <v>27</v>
      </c>
      <c r="B10" t="s">
        <v>31</v>
      </c>
      <c r="C10">
        <v>6</v>
      </c>
      <c r="D10">
        <v>120</v>
      </c>
      <c r="E10">
        <v>720</v>
      </c>
    </row>
    <row r="11" spans="1:5" x14ac:dyDescent="0.3">
      <c r="A11" t="s">
        <v>23</v>
      </c>
      <c r="B11" t="s">
        <v>31</v>
      </c>
      <c r="C11">
        <v>5</v>
      </c>
      <c r="D11">
        <v>350</v>
      </c>
      <c r="E11">
        <v>1750</v>
      </c>
    </row>
    <row r="12" spans="1:5" x14ac:dyDescent="0.3">
      <c r="A12" t="s">
        <v>32</v>
      </c>
      <c r="C12">
        <f>SUBTOTAL(109,Stationary[Quantity])</f>
        <v>126</v>
      </c>
      <c r="E12">
        <f>SUBTOTAL(109,Stationary[Sales])</f>
        <v>5065</v>
      </c>
    </row>
    <row r="22" spans="6:6" x14ac:dyDescent="0.3">
      <c r="F22" t="s">
        <v>33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22</vt:i4>
      </vt:variant>
    </vt:vector>
  </HeadingPairs>
  <TitlesOfParts>
    <vt:vector size="24" baseType="lpstr">
      <vt:lpstr>Sheet1</vt:lpstr>
      <vt:lpstr>Sheet2</vt:lpstr>
      <vt:lpstr>Abhishek_Sharma</vt:lpstr>
      <vt:lpstr>David_Warner</vt:lpstr>
      <vt:lpstr>English</vt:lpstr>
      <vt:lpstr>Ishan_Kishan</vt:lpstr>
      <vt:lpstr>Lokesh_Rahul</vt:lpstr>
      <vt:lpstr>Maths</vt:lpstr>
      <vt:lpstr>Rohit_Sharma</vt:lpstr>
      <vt:lpstr>Sam_Curran</vt:lpstr>
      <vt:lpstr>Sanju_Samson</vt:lpstr>
      <vt:lpstr>Science</vt:lpstr>
      <vt:lpstr>Student_</vt:lpstr>
      <vt:lpstr>Student_Name</vt:lpstr>
      <vt:lpstr>Total_Marks_of_Abhishek_Sharma</vt:lpstr>
      <vt:lpstr>Total_Marks_of_David_Warner</vt:lpstr>
      <vt:lpstr>Total_Marks_of_each_subject</vt:lpstr>
      <vt:lpstr>Total_Marks_of_Ishan_Kishan</vt:lpstr>
      <vt:lpstr>Total_Marks_of_Lokesh_Rahul</vt:lpstr>
      <vt:lpstr>Total_Marks_of_Rohit_Sharma</vt:lpstr>
      <vt:lpstr>Total_Marks_of_Sam_Curran</vt:lpstr>
      <vt:lpstr>Total_Marks_of_Sanju_</vt:lpstr>
      <vt:lpstr>Total_Marks_of_Sanju_Samson</vt:lpstr>
      <vt:lpstr>Total_marks_of_Virat_Kohli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Bisen</dc:creator>
  <cp:lastModifiedBy>Ashish Bisen</cp:lastModifiedBy>
  <dcterms:created xsi:type="dcterms:W3CDTF">2026-10-22T01:59:21Z</dcterms:created>
  <dcterms:modified xsi:type="dcterms:W3CDTF">2026-10-24T03:40:52Z</dcterms:modified>
</cp:coreProperties>
</file>