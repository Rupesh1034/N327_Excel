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en\N327_Excel\"/>
    </mc:Choice>
  </mc:AlternateContent>
  <xr:revisionPtr revIDLastSave="0" documentId="13_ncr:1_{32197B89-FD72-4C01-B2DD-728D98C442B2}" xr6:coauthVersionLast="47" xr6:coauthVersionMax="47" xr10:uidLastSave="{00000000-0000-0000-0000-000000000000}"/>
  <bookViews>
    <workbookView xWindow="-108" yWindow="-108" windowWidth="23256" windowHeight="12456" xr2:uid="{8BFE66A7-19FD-4911-BCE6-E5B8E698ED9A}"/>
  </bookViews>
  <sheets>
    <sheet name="LOGICAL OPERA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  <c r="G29" i="1"/>
  <c r="G30" i="1"/>
  <c r="G31" i="1"/>
  <c r="G27" i="1"/>
  <c r="F28" i="1"/>
  <c r="F29" i="1"/>
  <c r="F30" i="1"/>
  <c r="F31" i="1"/>
  <c r="F27" i="1"/>
  <c r="E29" i="1"/>
  <c r="E30" i="1"/>
  <c r="E31" i="1"/>
  <c r="E28" i="1"/>
  <c r="E27" i="1"/>
  <c r="D28" i="1"/>
  <c r="D29" i="1"/>
  <c r="D30" i="1"/>
  <c r="D27" i="1"/>
  <c r="C28" i="1"/>
  <c r="C29" i="1"/>
  <c r="C30" i="1"/>
  <c r="C27" i="1"/>
  <c r="E22" i="1"/>
  <c r="E23" i="1"/>
  <c r="E24" i="1"/>
  <c r="E21" i="1"/>
  <c r="D22" i="1"/>
  <c r="D23" i="1"/>
  <c r="D24" i="1"/>
  <c r="D21" i="1"/>
  <c r="H13" i="1"/>
  <c r="H12" i="1"/>
  <c r="H11" i="1"/>
  <c r="G13" i="1"/>
  <c r="G12" i="1"/>
  <c r="G11" i="1"/>
  <c r="F13" i="1"/>
  <c r="F12" i="1"/>
  <c r="F11" i="1"/>
</calcChain>
</file>

<file path=xl/sharedStrings.xml><?xml version="1.0" encoding="utf-8"?>
<sst xmlns="http://schemas.openxmlformats.org/spreadsheetml/2006/main" count="56" uniqueCount="55">
  <si>
    <t>Logical Operators</t>
  </si>
  <si>
    <t>Meanings</t>
  </si>
  <si>
    <t>Example</t>
  </si>
  <si>
    <t>Results</t>
  </si>
  <si>
    <t>Equals to</t>
  </si>
  <si>
    <t>Less Than</t>
  </si>
  <si>
    <t>Less Than Equals to</t>
  </si>
  <si>
    <t>Greater Than Equals to</t>
  </si>
  <si>
    <t>Greater Than</t>
  </si>
  <si>
    <t>Not</t>
  </si>
  <si>
    <t>&lt;</t>
  </si>
  <si>
    <t>&lt;=</t>
  </si>
  <si>
    <t>&gt;=</t>
  </si>
  <si>
    <t>&gt;</t>
  </si>
  <si>
    <t>&lt;&gt;</t>
  </si>
  <si>
    <t>G6&lt;15</t>
  </si>
  <si>
    <t>G6&lt;=15</t>
  </si>
  <si>
    <t>G6&gt;=15</t>
  </si>
  <si>
    <t>G6&lt;&gt;15</t>
  </si>
  <si>
    <t>G6&gt;19</t>
  </si>
  <si>
    <t>G6=10</t>
  </si>
  <si>
    <t>=</t>
  </si>
  <si>
    <t>Relational Operator</t>
  </si>
  <si>
    <t>AND</t>
  </si>
  <si>
    <t>OR</t>
  </si>
  <si>
    <t>NOT</t>
  </si>
  <si>
    <t>If all conditions is True then it returns True otherwise False</t>
  </si>
  <si>
    <t>If any of the conditions is True it returns True otherwise False</t>
  </si>
  <si>
    <t>It just reverse the results</t>
  </si>
  <si>
    <t>Products</t>
  </si>
  <si>
    <t>Banana</t>
  </si>
  <si>
    <t>Oranges</t>
  </si>
  <si>
    <t>Apple</t>
  </si>
  <si>
    <t>Instock</t>
  </si>
  <si>
    <t>Sold</t>
  </si>
  <si>
    <t>Formula</t>
  </si>
  <si>
    <t>If formula with OR operator</t>
  </si>
  <si>
    <t>If Formula with AND operator</t>
  </si>
  <si>
    <t>NAME</t>
  </si>
  <si>
    <t>SUB1</t>
  </si>
  <si>
    <t>SUB2</t>
  </si>
  <si>
    <t>RESULT</t>
  </si>
  <si>
    <t>Akash</t>
  </si>
  <si>
    <t>Rahul</t>
  </si>
  <si>
    <t>Heena</t>
  </si>
  <si>
    <t>Kunal</t>
  </si>
  <si>
    <t>Not Operator</t>
  </si>
  <si>
    <t>Num1</t>
  </si>
  <si>
    <t>Num2</t>
  </si>
  <si>
    <t>div</t>
  </si>
  <si>
    <t xml:space="preserve"> DIV WITH IFERROR ()</t>
  </si>
  <si>
    <t>Multiply with  iferror()</t>
  </si>
  <si>
    <t>apple</t>
  </si>
  <si>
    <t>Add with IFERROR()</t>
  </si>
  <si>
    <t>Sub with IFERROR()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</si>
</sst>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44E74D-63D8-4ED9-BD05-A887BE60CA7B}" name="Table1" displayName="Table1" ref="A1:D7" totalsRowShown="0" headerRowDxfId="3">
  <autoFilter ref="A1:D7" xr:uid="{E244E74D-63D8-4ED9-BD05-A887BE60CA7B}"/>
  <tableColumns count="4">
    <tableColumn id="1" xr3:uid="{3270686C-12B2-40BD-8814-20A2017563E6}" name="Relational Operator"/>
    <tableColumn id="2" xr3:uid="{F9FB1014-736E-4963-8B5D-876F4A4B40F3}" name="Meanings"/>
    <tableColumn id="3" xr3:uid="{565D2453-D63F-4737-9D86-4BD29557105D}" name="Example"/>
    <tableColumn id="4" xr3:uid="{5D031DCB-2AB2-43F4-8534-61F7ED6743C1}" name="Results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5D337C-016E-42B0-B762-D864A9A2CFBA}" name="Table2" displayName="Table2" ref="A10:H13" totalsRowShown="0" headerRowDxfId="2">
  <autoFilter ref="A10:H13" xr:uid="{B25D337C-016E-42B0-B762-D864A9A2CFBA}"/>
  <tableColumns count="8">
    <tableColumn id="1" xr3:uid="{C06DD7C4-21DE-4C57-8B1E-B636F9B0C88F}" name="Logical Operators"/>
    <tableColumn id="2" xr3:uid="{93FFBC55-38BB-4BCE-9D64-40B6F164880A}" name="Meanings"/>
    <tableColumn id="3" xr3:uid="{ADB4F945-7AA0-4BC4-AF6F-E105B5F56B82}" name="Products"/>
    <tableColumn id="4" xr3:uid="{27338B6E-05FD-4E66-B585-F1B331D6B9CB}" name="Instock"/>
    <tableColumn id="5" xr3:uid="{CF332D3F-B59C-46E9-83D0-1B017750AFDB}" name="Sold"/>
    <tableColumn id="6" xr3:uid="{931C2F2B-DBCF-4324-B831-2EF7C2745832}" name="Formula"/>
    <tableColumn id="7" xr3:uid="{93687CEC-2058-4E70-A0FF-C9505E5ADF5B}" name="If Formula with AND operator"/>
    <tableColumn id="8" xr3:uid="{07FE53C0-3CE9-4FF9-B636-59439D8D90F7}" name="If formula with OR operator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8C48FF-D7D1-4140-A79B-D0219D8AE2DB}" name="Table3" displayName="Table3" ref="A20:E24" totalsRowShown="0" headerRowDxfId="1">
  <autoFilter ref="A20:E24" xr:uid="{9B8C48FF-D7D1-4140-A79B-D0219D8AE2DB}"/>
  <tableColumns count="5">
    <tableColumn id="1" xr3:uid="{C1BAEECB-83A6-4151-A71E-0D9466201D19}" name="NAME"/>
    <tableColumn id="2" xr3:uid="{A1A71E07-C13A-4846-9D6E-DF9EA3423372}" name="SUB1"/>
    <tableColumn id="3" xr3:uid="{D13BADCD-2876-4128-AE00-775E9CA1F2AB}" name="SUB2"/>
    <tableColumn id="4" xr3:uid="{D0B9786C-CDE2-45D7-B13E-0827F23DDC21}" name="RESULT">
      <calculatedColumnFormula>IF(AND(B21&gt;40,C21&gt;40),"Pass","Fail")</calculatedColumnFormula>
    </tableColumn>
    <tableColumn id="5" xr3:uid="{05FEE045-1684-4E46-8BE6-8BAFFA10491F}" name="Not Operator">
      <calculatedColumnFormula>IF(NOT(AND(B21&gt;40,C21&gt;40)),"Pass","Fail")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8EA50B-B094-4E64-B040-8374AC36328E}" name="Table4" displayName="Table4" ref="A26:G32" totalsRowShown="0" headerRowDxfId="0">
  <autoFilter ref="A26:G32" xr:uid="{8C8EA50B-B094-4E64-B040-8374AC36328E}"/>
  <tableColumns count="7">
    <tableColumn id="1" xr3:uid="{90CBC410-BD04-456F-A07C-57ECCE20DB22}" name="Num1"/>
    <tableColumn id="2" xr3:uid="{FB8FF579-5697-4449-9C47-842D03515313}" name="Num2"/>
    <tableColumn id="3" xr3:uid="{AB5C4268-500A-4902-B1EC-3D5917B98874}" name="div"/>
    <tableColumn id="4" xr3:uid="{1F7742EE-2C81-410D-B6CD-F026558FEF19}" name=" DIV WITH IFERROR ()"/>
    <tableColumn id="5" xr3:uid="{CF672136-B2C3-4E70-8D41-2A10309F0631}" name="Multiply with  iferror()"/>
    <tableColumn id="6" xr3:uid="{3A2D5DED-B441-4485-9E66-18142B62B47C}" name="Add with IFERROR()"/>
    <tableColumn id="7" xr3:uid="{6DC8697B-E321-4EE6-9A75-40150E420F0B}" name="Sub with IFERROR()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71A0-6894-4DC4-ABE6-A65B66C6791D}">
  <dimension ref="A1:H31"/>
  <sheetViews>
    <sheetView tabSelected="1" topLeftCell="A19" workbookViewId="0">
      <selection activeCell="F38" sqref="F38"/>
    </sheetView>
  </sheetViews>
  <sheetFormatPr defaultRowHeight="14.4" x14ac:dyDescent="0.3"/>
  <cols>
    <col min="1" max="1" width="19.21875" customWidth="1"/>
    <col min="2" max="2" width="50.33203125" customWidth="1"/>
    <col min="3" max="3" width="13.5546875" customWidth="1"/>
    <col min="4" max="4" width="22.44140625" customWidth="1"/>
    <col min="5" max="5" width="22" customWidth="1"/>
    <col min="6" max="6" width="19.44140625" customWidth="1"/>
    <col min="7" max="7" width="27.6640625" customWidth="1"/>
    <col min="8" max="8" width="26" customWidth="1"/>
  </cols>
  <sheetData>
    <row r="1" spans="1:8" x14ac:dyDescent="0.3">
      <c r="A1" s="1" t="s">
        <v>22</v>
      </c>
      <c r="B1" s="1" t="s">
        <v>1</v>
      </c>
      <c r="C1" s="1" t="s">
        <v>2</v>
      </c>
      <c r="D1" s="1" t="s">
        <v>3</v>
      </c>
    </row>
    <row r="2" spans="1:8" x14ac:dyDescent="0.3">
      <c r="A2" t="s">
        <v>21</v>
      </c>
      <c r="B2" t="s">
        <v>4</v>
      </c>
      <c r="C2" t="s">
        <v>20</v>
      </c>
      <c r="D2" t="b">
        <v>0</v>
      </c>
    </row>
    <row r="3" spans="1:8" x14ac:dyDescent="0.3">
      <c r="A3" t="s">
        <v>10</v>
      </c>
      <c r="B3" t="s">
        <v>5</v>
      </c>
      <c r="C3" t="s">
        <v>15</v>
      </c>
      <c r="D3" t="b">
        <v>0</v>
      </c>
    </row>
    <row r="4" spans="1:8" x14ac:dyDescent="0.3">
      <c r="A4" t="s">
        <v>11</v>
      </c>
      <c r="B4" t="s">
        <v>6</v>
      </c>
      <c r="C4" t="s">
        <v>16</v>
      </c>
      <c r="D4" t="b">
        <v>1</v>
      </c>
    </row>
    <row r="5" spans="1:8" x14ac:dyDescent="0.3">
      <c r="A5" t="s">
        <v>12</v>
      </c>
      <c r="B5" t="s">
        <v>7</v>
      </c>
      <c r="C5" t="s">
        <v>17</v>
      </c>
      <c r="D5" t="b">
        <v>1</v>
      </c>
    </row>
    <row r="6" spans="1:8" x14ac:dyDescent="0.3">
      <c r="A6" t="s">
        <v>13</v>
      </c>
      <c r="B6" t="s">
        <v>8</v>
      </c>
      <c r="C6" t="s">
        <v>19</v>
      </c>
      <c r="D6" t="b">
        <v>0</v>
      </c>
      <c r="G6">
        <v>15</v>
      </c>
    </row>
    <row r="7" spans="1:8" x14ac:dyDescent="0.3">
      <c r="A7" t="s">
        <v>14</v>
      </c>
      <c r="B7" t="s">
        <v>9</v>
      </c>
      <c r="C7" t="s">
        <v>18</v>
      </c>
      <c r="D7" t="b">
        <v>0</v>
      </c>
    </row>
    <row r="10" spans="1:8" x14ac:dyDescent="0.3">
      <c r="A10" s="1" t="s">
        <v>0</v>
      </c>
      <c r="B10" s="1" t="s">
        <v>1</v>
      </c>
      <c r="C10" s="1" t="s">
        <v>29</v>
      </c>
      <c r="D10" s="1" t="s">
        <v>33</v>
      </c>
      <c r="E10" s="1" t="s">
        <v>34</v>
      </c>
      <c r="F10" s="1" t="s">
        <v>35</v>
      </c>
      <c r="G10" s="1" t="s">
        <v>37</v>
      </c>
      <c r="H10" s="1" t="s">
        <v>36</v>
      </c>
    </row>
    <row r="11" spans="1:8" x14ac:dyDescent="0.3">
      <c r="A11" t="s">
        <v>23</v>
      </c>
      <c r="B11" t="s">
        <v>26</v>
      </c>
      <c r="C11" t="s">
        <v>30</v>
      </c>
      <c r="D11">
        <v>30</v>
      </c>
      <c r="E11">
        <v>20</v>
      </c>
      <c r="F11" t="b">
        <f>AND(C11="Banana",D11&gt;E11)</f>
        <v>1</v>
      </c>
      <c r="G11" t="str">
        <f>IF(AND(C11="Banana",D11&gt;E11),"Able to Sold","Out of Stock")</f>
        <v>Able to Sold</v>
      </c>
      <c r="H11" t="str">
        <f>IF(OR(C11="Banana",D11&lt;E11),"Able to sold","Out of Stock")</f>
        <v>Able to sold</v>
      </c>
    </row>
    <row r="12" spans="1:8" x14ac:dyDescent="0.3">
      <c r="A12" t="s">
        <v>24</v>
      </c>
      <c r="B12" t="s">
        <v>27</v>
      </c>
      <c r="C12" t="s">
        <v>31</v>
      </c>
      <c r="D12">
        <v>40</v>
      </c>
      <c r="E12">
        <v>40</v>
      </c>
      <c r="F12" t="b">
        <f>AND(C12="Oranges",D12&gt;E12)</f>
        <v>0</v>
      </c>
      <c r="G12" t="str">
        <f>IF(AND(C12="Oranges",D12&gt;E12),"Able to Sold","Out of Stock")</f>
        <v>Out of Stock</v>
      </c>
      <c r="H12" t="str">
        <f>IF(OR(C12="Mango",D12&lt;E12),"Out Of Stock","Product is not available")</f>
        <v>Product is not available</v>
      </c>
    </row>
    <row r="13" spans="1:8" x14ac:dyDescent="0.3">
      <c r="A13" t="s">
        <v>25</v>
      </c>
      <c r="B13" t="s">
        <v>28</v>
      </c>
      <c r="C13" t="s">
        <v>32</v>
      </c>
      <c r="D13">
        <v>40</v>
      </c>
      <c r="E13">
        <v>10</v>
      </c>
      <c r="F13" t="b">
        <f>AND(C13="Banana",D13&gt;13)</f>
        <v>0</v>
      </c>
      <c r="G13" t="str">
        <f>IF(AND(C13="Apple",D13&gt;E13),"Able to Sold", "Out of Stock")</f>
        <v>Able to Sold</v>
      </c>
      <c r="H13" t="str">
        <f>IF(OR(C13="Apple",D13&gt;E13),"Able to sold","out of stock")</f>
        <v>Able to sold</v>
      </c>
    </row>
    <row r="20" spans="1:7" x14ac:dyDescent="0.3">
      <c r="A20" s="1" t="s">
        <v>38</v>
      </c>
      <c r="B20" s="1" t="s">
        <v>39</v>
      </c>
      <c r="C20" s="1" t="s">
        <v>40</v>
      </c>
      <c r="D20" s="1" t="s">
        <v>41</v>
      </c>
      <c r="E20" s="1" t="s">
        <v>46</v>
      </c>
    </row>
    <row r="21" spans="1:7" x14ac:dyDescent="0.3">
      <c r="A21" t="s">
        <v>42</v>
      </c>
      <c r="B21">
        <v>45</v>
      </c>
      <c r="C21">
        <v>50</v>
      </c>
      <c r="D21" t="str">
        <f>IF(AND(B21&gt;40,C21&gt;40),"Pass","Fail")</f>
        <v>Pass</v>
      </c>
      <c r="E21" t="str">
        <f>IF(NOT(AND(B21&gt;40,C21&gt;40)),"Pass","Fail")</f>
        <v>Fail</v>
      </c>
    </row>
    <row r="22" spans="1:7" x14ac:dyDescent="0.3">
      <c r="A22" t="s">
        <v>43</v>
      </c>
      <c r="B22">
        <v>34</v>
      </c>
      <c r="C22">
        <v>41</v>
      </c>
      <c r="D22" t="str">
        <f t="shared" ref="D22:D24" si="0">IF(AND(B22&gt;40,C22&gt;40),"Pass","Fail")</f>
        <v>Fail</v>
      </c>
      <c r="E22" t="str">
        <f t="shared" ref="E22:E24" si="1">IF(NOT(AND(B22&gt;40,C22&gt;40)),"Pass","Fail")</f>
        <v>Pass</v>
      </c>
    </row>
    <row r="23" spans="1:7" x14ac:dyDescent="0.3">
      <c r="A23" t="s">
        <v>44</v>
      </c>
      <c r="B23">
        <v>56</v>
      </c>
      <c r="C23">
        <v>58</v>
      </c>
      <c r="D23" t="str">
        <f t="shared" si="0"/>
        <v>Pass</v>
      </c>
      <c r="E23" t="str">
        <f t="shared" si="1"/>
        <v>Fail</v>
      </c>
    </row>
    <row r="24" spans="1:7" x14ac:dyDescent="0.3">
      <c r="A24" t="s">
        <v>45</v>
      </c>
      <c r="B24">
        <v>41</v>
      </c>
      <c r="C24">
        <v>56</v>
      </c>
      <c r="D24" t="str">
        <f t="shared" si="0"/>
        <v>Pass</v>
      </c>
      <c r="E24" t="str">
        <f t="shared" si="1"/>
        <v>Fail</v>
      </c>
    </row>
    <row r="26" spans="1:7" x14ac:dyDescent="0.3">
      <c r="A26" s="1" t="s">
        <v>47</v>
      </c>
      <c r="B26" s="1" t="s">
        <v>48</v>
      </c>
      <c r="C26" s="1" t="s">
        <v>49</v>
      </c>
      <c r="D26" s="1" t="s">
        <v>50</v>
      </c>
      <c r="E26" s="1" t="s">
        <v>51</v>
      </c>
      <c r="F26" s="1" t="s">
        <v>53</v>
      </c>
      <c r="G26" s="1" t="s">
        <v>54</v>
      </c>
    </row>
    <row r="27" spans="1:7" x14ac:dyDescent="0.3">
      <c r="A27">
        <v>10</v>
      </c>
      <c r="B27">
        <v>2</v>
      </c>
      <c r="C27">
        <f>A27/B27</f>
        <v>5</v>
      </c>
      <c r="D27">
        <f>IFERROR(A27/B27,0)</f>
        <v>5</v>
      </c>
      <c r="E27">
        <f>IFERROR(A27*B27,"Unable to multiply")</f>
        <v>20</v>
      </c>
      <c r="F27">
        <f>IFERROR(A27+B27,"Unable to add")</f>
        <v>12</v>
      </c>
      <c r="G27">
        <f>IFERROR(A27-B27,"Unable to perform subtraction")</f>
        <v>8</v>
      </c>
    </row>
    <row r="28" spans="1:7" x14ac:dyDescent="0.3">
      <c r="A28">
        <v>19</v>
      </c>
      <c r="B28">
        <v>8</v>
      </c>
      <c r="C28">
        <f t="shared" ref="C28:C30" si="2">A28/B28</f>
        <v>2.375</v>
      </c>
      <c r="D28">
        <f t="shared" ref="D28:D30" si="3">IFERROR(A28/B28,0)</f>
        <v>2.375</v>
      </c>
      <c r="E28">
        <f t="shared" ref="E28:E31" si="4">IFERROR(A28*B28,"Unable to multiply")</f>
        <v>152</v>
      </c>
      <c r="F28">
        <f t="shared" ref="F28:F31" si="5">IFERROR(A28+B28,"Unable to add")</f>
        <v>27</v>
      </c>
      <c r="G28">
        <f t="shared" ref="G28:G31" si="6">IFERROR(A28-B28,"Unable to perform subtraction")</f>
        <v>11</v>
      </c>
    </row>
    <row r="29" spans="1:7" x14ac:dyDescent="0.3">
      <c r="A29">
        <v>0</v>
      </c>
      <c r="B29">
        <v>23</v>
      </c>
      <c r="C29">
        <f t="shared" si="2"/>
        <v>0</v>
      </c>
      <c r="D29">
        <f t="shared" si="3"/>
        <v>0</v>
      </c>
      <c r="E29">
        <f t="shared" si="4"/>
        <v>0</v>
      </c>
      <c r="F29">
        <f t="shared" si="5"/>
        <v>23</v>
      </c>
      <c r="G29">
        <f t="shared" si="6"/>
        <v>-23</v>
      </c>
    </row>
    <row r="30" spans="1:7" x14ac:dyDescent="0.3">
      <c r="A30">
        <v>144</v>
      </c>
      <c r="B30">
        <v>0</v>
      </c>
      <c r="C30" t="e">
        <f t="shared" si="2"/>
        <v>#DIV/0!</v>
      </c>
      <c r="D30">
        <f t="shared" si="3"/>
        <v>0</v>
      </c>
      <c r="E30">
        <f t="shared" si="4"/>
        <v>0</v>
      </c>
      <c r="F30">
        <f t="shared" si="5"/>
        <v>144</v>
      </c>
      <c r="G30">
        <f t="shared" si="6"/>
        <v>144</v>
      </c>
    </row>
    <row r="31" spans="1:7" x14ac:dyDescent="0.3">
      <c r="A31">
        <v>12</v>
      </c>
      <c r="B31" t="s">
        <v>52</v>
      </c>
      <c r="E31" t="str">
        <f t="shared" si="4"/>
        <v>Unable to multiply</v>
      </c>
      <c r="F31" t="str">
        <f t="shared" si="5"/>
        <v>Unable to add</v>
      </c>
      <c r="G31" t="str">
        <f t="shared" si="6"/>
        <v>Unable to perform subtraction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OPERATORS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Bisen</dc:creator>
  <cp:lastModifiedBy>Ashish Bisen</cp:lastModifiedBy>
  <dcterms:created xsi:type="dcterms:W3CDTF">2026-10-29T02:01:01Z</dcterms:created>
  <dcterms:modified xsi:type="dcterms:W3CDTF">2026-10-29T03:35:52Z</dcterms:modified>
</cp:coreProperties>
</file>